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file\texfile\Modern_Physics_Lab\9.1\"/>
    </mc:Choice>
  </mc:AlternateContent>
  <xr:revisionPtr revIDLastSave="0" documentId="13_ncr:1_{FEC95998-74F0-4B97-96F7-BF96D252C489}" xr6:coauthVersionLast="47" xr6:coauthVersionMax="47" xr10:uidLastSave="{00000000-0000-0000-0000-000000000000}"/>
  <bookViews>
    <workbookView xWindow="-108" yWindow="-108" windowWidth="23256" windowHeight="12456" xr2:uid="{A4CA488C-BC97-4FE3-9CB1-4946599866B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" i="1"/>
  <c r="AH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" i="1"/>
  <c r="AA18" i="1"/>
  <c r="AA19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" i="1"/>
  <c r="Y3" i="1"/>
  <c r="AA3" i="1" s="1"/>
  <c r="Y4" i="1"/>
  <c r="AA4" i="1" s="1"/>
  <c r="Y5" i="1"/>
  <c r="AA5" i="1" s="1"/>
  <c r="Y6" i="1"/>
  <c r="AA6" i="1" s="1"/>
  <c r="Y7" i="1"/>
  <c r="AA7" i="1" s="1"/>
  <c r="Y8" i="1"/>
  <c r="AA8" i="1" s="1"/>
  <c r="Y9" i="1"/>
  <c r="Y10" i="1"/>
  <c r="AA10" i="1" s="1"/>
  <c r="Y11" i="1"/>
  <c r="AA11" i="1" s="1"/>
  <c r="Y12" i="1"/>
  <c r="AA12" i="1" s="1"/>
  <c r="Y13" i="1"/>
  <c r="Y14" i="1"/>
  <c r="AA14" i="1" s="1"/>
  <c r="Y15" i="1"/>
  <c r="AA15" i="1" s="1"/>
  <c r="Y16" i="1"/>
  <c r="AA16" i="1" s="1"/>
  <c r="Y17" i="1"/>
  <c r="AA17" i="1" s="1"/>
  <c r="Y18" i="1"/>
  <c r="Y19" i="1"/>
  <c r="Y20" i="1"/>
  <c r="AA20" i="1" s="1"/>
  <c r="Y21" i="1"/>
  <c r="Y22" i="1"/>
  <c r="AA22" i="1" s="1"/>
  <c r="Y23" i="1"/>
  <c r="AA23" i="1" s="1"/>
  <c r="Y24" i="1"/>
  <c r="AA24" i="1" s="1"/>
  <c r="Y2" i="1"/>
  <c r="F3" i="1"/>
  <c r="I3" i="1"/>
  <c r="J3" i="1"/>
  <c r="L3" i="1" s="1"/>
  <c r="Q3" i="1"/>
  <c r="T3" i="1"/>
  <c r="F4" i="1"/>
  <c r="I4" i="1"/>
  <c r="J4" i="1"/>
  <c r="L4" i="1" s="1"/>
  <c r="Q4" i="1"/>
  <c r="T4" i="1"/>
  <c r="F5" i="1"/>
  <c r="I5" i="1"/>
  <c r="J5" i="1"/>
  <c r="L5" i="1" s="1"/>
  <c r="Q5" i="1"/>
  <c r="T5" i="1"/>
  <c r="F6" i="1"/>
  <c r="I6" i="1"/>
  <c r="M6" i="1" s="1"/>
  <c r="J6" i="1"/>
  <c r="L6" i="1" s="1"/>
  <c r="Q6" i="1"/>
  <c r="T6" i="1"/>
  <c r="F7" i="1"/>
  <c r="I7" i="1"/>
  <c r="J7" i="1"/>
  <c r="L7" i="1" s="1"/>
  <c r="Q7" i="1"/>
  <c r="T7" i="1"/>
  <c r="F8" i="1"/>
  <c r="I8" i="1"/>
  <c r="J8" i="1"/>
  <c r="L8" i="1" s="1"/>
  <c r="Q8" i="1"/>
  <c r="T8" i="1"/>
  <c r="F9" i="1"/>
  <c r="I9" i="1"/>
  <c r="J9" i="1"/>
  <c r="L9" i="1" s="1"/>
  <c r="Q9" i="1"/>
  <c r="T9" i="1"/>
  <c r="F10" i="1"/>
  <c r="I10" i="1"/>
  <c r="M10" i="1" s="1"/>
  <c r="J10" i="1"/>
  <c r="L10" i="1"/>
  <c r="Q10" i="1"/>
  <c r="T10" i="1"/>
  <c r="F11" i="1"/>
  <c r="I11" i="1"/>
  <c r="J11" i="1"/>
  <c r="L11" i="1" s="1"/>
  <c r="Q11" i="1"/>
  <c r="T11" i="1"/>
  <c r="F12" i="1"/>
  <c r="I12" i="1"/>
  <c r="J12" i="1"/>
  <c r="L12" i="1" s="1"/>
  <c r="Q12" i="1"/>
  <c r="T12" i="1"/>
  <c r="F13" i="1"/>
  <c r="I13" i="1"/>
  <c r="J13" i="1"/>
  <c r="L13" i="1" s="1"/>
  <c r="Q13" i="1"/>
  <c r="T13" i="1"/>
  <c r="F14" i="1"/>
  <c r="I14" i="1"/>
  <c r="J14" i="1"/>
  <c r="L14" i="1" s="1"/>
  <c r="Q14" i="1"/>
  <c r="T14" i="1"/>
  <c r="F15" i="1"/>
  <c r="I15" i="1"/>
  <c r="J15" i="1"/>
  <c r="L15" i="1" s="1"/>
  <c r="Q15" i="1"/>
  <c r="T15" i="1"/>
  <c r="F16" i="1"/>
  <c r="I16" i="1"/>
  <c r="J16" i="1"/>
  <c r="L16" i="1" s="1"/>
  <c r="Q16" i="1"/>
  <c r="T16" i="1"/>
  <c r="F17" i="1"/>
  <c r="I17" i="1"/>
  <c r="J17" i="1"/>
  <c r="L17" i="1" s="1"/>
  <c r="Q17" i="1"/>
  <c r="T17" i="1"/>
  <c r="F18" i="1"/>
  <c r="I18" i="1"/>
  <c r="J18" i="1"/>
  <c r="L18" i="1" s="1"/>
  <c r="Q18" i="1"/>
  <c r="T18" i="1"/>
  <c r="F19" i="1"/>
  <c r="I19" i="1"/>
  <c r="J19" i="1"/>
  <c r="L19" i="1" s="1"/>
  <c r="Q19" i="1"/>
  <c r="T19" i="1"/>
  <c r="F20" i="1"/>
  <c r="I20" i="1"/>
  <c r="J20" i="1"/>
  <c r="L20" i="1" s="1"/>
  <c r="Q20" i="1"/>
  <c r="T20" i="1"/>
  <c r="F21" i="1"/>
  <c r="I21" i="1"/>
  <c r="J21" i="1"/>
  <c r="L21" i="1" s="1"/>
  <c r="Q21" i="1"/>
  <c r="T21" i="1"/>
  <c r="F22" i="1"/>
  <c r="I22" i="1"/>
  <c r="J22" i="1"/>
  <c r="L22" i="1" s="1"/>
  <c r="Q22" i="1"/>
  <c r="T22" i="1"/>
  <c r="F23" i="1"/>
  <c r="I23" i="1"/>
  <c r="J23" i="1"/>
  <c r="L23" i="1" s="1"/>
  <c r="Q23" i="1"/>
  <c r="T23" i="1"/>
  <c r="F24" i="1"/>
  <c r="I24" i="1"/>
  <c r="J24" i="1"/>
  <c r="L24" i="1" s="1"/>
  <c r="Q24" i="1"/>
  <c r="T24" i="1"/>
  <c r="F2" i="1"/>
  <c r="T2" i="1"/>
  <c r="Q2" i="1"/>
  <c r="J2" i="1"/>
  <c r="L2" i="1" s="1"/>
  <c r="I2" i="1"/>
  <c r="AA2" i="1" l="1"/>
  <c r="AA13" i="1"/>
  <c r="AA21" i="1"/>
  <c r="AA9" i="1"/>
  <c r="U3" i="1"/>
  <c r="V3" i="1" s="1"/>
  <c r="U4" i="1"/>
  <c r="V4" i="1" s="1"/>
  <c r="U6" i="1"/>
  <c r="V6" i="1" s="1"/>
  <c r="U7" i="1"/>
  <c r="V7" i="1" s="1"/>
  <c r="U22" i="1"/>
  <c r="V22" i="1" s="1"/>
  <c r="M4" i="1"/>
  <c r="M13" i="1"/>
  <c r="M18" i="1"/>
  <c r="X18" i="1" s="1"/>
  <c r="M2" i="1"/>
  <c r="U20" i="1"/>
  <c r="V20" i="1" s="1"/>
  <c r="M17" i="1"/>
  <c r="X2" i="1"/>
  <c r="U19" i="1"/>
  <c r="V19" i="1" s="1"/>
  <c r="M9" i="1"/>
  <c r="M21" i="1"/>
  <c r="M7" i="1"/>
  <c r="U10" i="1"/>
  <c r="V10" i="1" s="1"/>
  <c r="U8" i="1"/>
  <c r="V8" i="1" s="1"/>
  <c r="U18" i="1"/>
  <c r="V18" i="1" s="1"/>
  <c r="M22" i="1"/>
  <c r="U23" i="1"/>
  <c r="V23" i="1" s="1"/>
  <c r="U5" i="1"/>
  <c r="V5" i="1" s="1"/>
  <c r="M16" i="1"/>
  <c r="M14" i="1"/>
  <c r="U17" i="1"/>
  <c r="V17" i="1" s="1"/>
  <c r="U15" i="1"/>
  <c r="V15" i="1" s="1"/>
  <c r="U13" i="1"/>
  <c r="V13" i="1" s="1"/>
  <c r="U11" i="1"/>
  <c r="V11" i="1" s="1"/>
  <c r="M19" i="1"/>
  <c r="U16" i="1"/>
  <c r="V16" i="1" s="1"/>
  <c r="U14" i="1"/>
  <c r="V14" i="1" s="1"/>
  <c r="M12" i="1"/>
  <c r="M15" i="1"/>
  <c r="M3" i="1"/>
  <c r="U21" i="1"/>
  <c r="V21" i="1" s="1"/>
  <c r="M20" i="1"/>
  <c r="X20" i="1" s="1"/>
  <c r="U9" i="1"/>
  <c r="V9" i="1" s="1"/>
  <c r="M8" i="1"/>
  <c r="U24" i="1"/>
  <c r="V24" i="1" s="1"/>
  <c r="M23" i="1"/>
  <c r="U12" i="1"/>
  <c r="V12" i="1" s="1"/>
  <c r="M11" i="1"/>
  <c r="X11" i="1" s="1"/>
  <c r="M24" i="1"/>
  <c r="U2" i="1"/>
  <c r="V2" i="1" s="1"/>
  <c r="X3" i="1" l="1"/>
  <c r="AG5" i="1"/>
  <c r="AC3" i="1"/>
  <c r="X15" i="1"/>
  <c r="AB15" i="1"/>
  <c r="AC15" i="1"/>
  <c r="X17" i="1"/>
  <c r="X22" i="1"/>
  <c r="AB20" i="1"/>
  <c r="AC2" i="1"/>
  <c r="AC11" i="1"/>
  <c r="AB14" i="1"/>
  <c r="AC14" i="1"/>
  <c r="X16" i="1"/>
  <c r="X12" i="1"/>
  <c r="X24" i="1"/>
  <c r="AB18" i="1"/>
  <c r="AC18" i="1"/>
  <c r="AC23" i="1"/>
  <c r="AC22" i="1"/>
  <c r="AC13" i="1"/>
  <c r="AB4" i="1"/>
  <c r="AB2" i="1"/>
  <c r="AC12" i="1"/>
  <c r="X14" i="1"/>
  <c r="X7" i="1"/>
  <c r="X13" i="1"/>
  <c r="X23" i="1"/>
  <c r="X21" i="1"/>
  <c r="X8" i="1"/>
  <c r="X10" i="1"/>
  <c r="X9" i="1"/>
  <c r="X4" i="1"/>
  <c r="X19" i="1"/>
  <c r="X6" i="1"/>
  <c r="AC6" i="1" l="1"/>
  <c r="AB6" i="1"/>
  <c r="AC10" i="1"/>
  <c r="M5" i="1"/>
  <c r="AC9" i="1"/>
  <c r="AB10" i="1"/>
  <c r="AC8" i="1"/>
  <c r="AB9" i="1"/>
  <c r="AB8" i="1"/>
  <c r="AC24" i="1"/>
  <c r="AB3" i="1"/>
  <c r="AB24" i="1"/>
  <c r="AB22" i="1"/>
  <c r="AC7" i="1"/>
  <c r="AB7" i="1"/>
  <c r="AC20" i="1"/>
  <c r="AB19" i="1"/>
  <c r="AB11" i="1"/>
  <c r="AB21" i="1"/>
  <c r="AC21" i="1"/>
  <c r="AB12" i="1"/>
  <c r="AC19" i="1"/>
  <c r="AB16" i="1"/>
  <c r="AC17" i="1"/>
  <c r="AB23" i="1"/>
  <c r="AC4" i="1"/>
  <c r="AC16" i="1"/>
  <c r="AB17" i="1"/>
  <c r="AB13" i="1"/>
  <c r="X5" i="1" l="1"/>
  <c r="AC5" i="1"/>
  <c r="AB5" i="1"/>
</calcChain>
</file>

<file path=xl/sharedStrings.xml><?xml version="1.0" encoding="utf-8"?>
<sst xmlns="http://schemas.openxmlformats.org/spreadsheetml/2006/main" count="61" uniqueCount="37">
  <si>
    <t>$V_I$/V</t>
  </si>
  <si>
    <t>$V_{II}$/V</t>
  </si>
  <si>
    <t>$-V_I$/V</t>
  </si>
  <si>
    <t>$-V_{II}$/V</t>
  </si>
  <si>
    <t>$-(V_I+V_{II})$/V</t>
  </si>
  <si>
    <t>$(V_I+V_{II})$/V</t>
  </si>
  <si>
    <t>$\rho$/$\rm{\Ohm\cdotcm}$</t>
  </si>
  <si>
    <t>$V_{III}(+I,+H)$/V</t>
  </si>
  <si>
    <t>$V_{III}(+I,+0)$/V</t>
  </si>
  <si>
    <t>$V_{III}(-I,+0)$/V</t>
  </si>
  <si>
    <t>$V_{III}(-I,-H)$/V</t>
  </si>
  <si>
    <t>$\Delta V_{III}(+)$/V</t>
  </si>
  <si>
    <t>$\Delta V_{III}(-)$/V</t>
  </si>
  <si>
    <t>$V_H$/V</t>
  </si>
  <si>
    <t>$R_H$/$\rm{10^4cm^3C}$</t>
  </si>
  <si>
    <t>設定溫度/$\rm{\degree C}$</t>
  </si>
  <si>
    <t>室溫</t>
  </si>
  <si>
    <t>內插</t>
  </si>
  <si>
    <t>樣品溫度/K</t>
  </si>
  <si>
    <t>$R_{12,34}/R_{23,41}$</t>
  </si>
  <si>
    <t>f</t>
  </si>
  <si>
    <t>delta</t>
  </si>
  <si>
    <t>樣品厚度$d$/mm</t>
  </si>
  <si>
    <t>施加電流$i$/$\rm{\mu A}$</t>
  </si>
  <si>
    <t>磁場強度$B$/T</t>
  </si>
  <si>
    <t xml:space="preserve"> </t>
  </si>
  <si>
    <t>\mu300</t>
  </si>
  <si>
    <t>$(\mu_{l,p})T$/$\rm{cm^2/(V\cdot s)}$</t>
  </si>
  <si>
    <t>$\mu_{1,n,ref}$</t>
  </si>
  <si>
    <t>$\mu_{1,p,ref}$</t>
  </si>
  <si>
    <t>b</t>
  </si>
  <si>
    <t>p</t>
  </si>
  <si>
    <t>n</t>
  </si>
  <si>
    <t>N_A</t>
  </si>
  <si>
    <t>1/T</t>
  </si>
  <si>
    <t>k</t>
  </si>
  <si>
    <t>ln(npT-3)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</si>
</sst>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1/T </a:t>
            </a:r>
            <a:r>
              <a:rPr lang="en-US" altLang="zh-TW" baseline="0"/>
              <a:t> </a:t>
            </a:r>
            <a:r>
              <a:rPr lang="en-US" altLang="zh-TW"/>
              <a:t>-ln(npT-3)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Sheet1!$AD$1</c:f>
              <c:strCache>
                <c:ptCount val="1"/>
                <c:pt idx="0">
                  <c:v>ln(npT-3)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Sheet1!$C$2:$C$24</c:f>
              <c:numCache>
                <c:formatCode>General</c:formatCode>
                <c:ptCount val="23"/>
                <c:pt idx="0">
                  <c:v>3.3333333333333335E-3</c:v>
                </c:pt>
                <c:pt idx="1">
                  <c:v>3.3333333333333335E-3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Sheet1!$AD$2:$AD$24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69-4D9C-B9AD-7FD9607D3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6096"/>
        <c:axId val="516289424"/>
      </c:scatterChart>
      <c:valAx>
        <c:axId val="51628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89424"/>
        <c:crosses val="autoZero"/>
        <c:crossBetween val="midCat"/>
      </c:valAx>
      <c:valAx>
        <c:axId val="5162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28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147918</xdr:colOff>
      <xdr:row>6</xdr:row>
      <xdr:rowOff>179293</xdr:rowOff>
    </xdr:from>
    <xdr:to>
      <xdr:col>36</xdr:col>
      <xdr:colOff>578224</xdr:colOff>
      <xdr:row>21</xdr:row>
      <xdr:rowOff>44823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1ED76017-0281-4E02-BD64-2558FB926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DF87-FBFE-4E88-BD13-480271F403B7}">
  <sheetPr codeName="Sheet1"/>
  <dimension ref="A1:AH24"/>
  <sheetViews>
    <sheetView tabSelected="1" zoomScale="85" zoomScaleNormal="85" workbookViewId="0">
      <selection activeCell="F16" sqref="F16"/>
    </sheetView>
  </sheetViews>
  <sheetFormatPr defaultRowHeight="14.4" x14ac:dyDescent="0.3"/>
  <cols>
    <col min="11" max="11" width="13.33203125" bestFit="1" customWidth="1"/>
    <col min="30" max="30" width="12.44140625" bestFit="1" customWidth="1"/>
    <col min="33" max="33" width="11.33203125" bestFit="1" customWidth="1"/>
  </cols>
  <sheetData>
    <row r="1" spans="1:34" x14ac:dyDescent="0.3">
      <c r="A1" t="s">
        <v>15</v>
      </c>
      <c r="B1" t="s">
        <v>18</v>
      </c>
      <c r="C1" t="s">
        <v>34</v>
      </c>
      <c r="D1" t="s">
        <v>0</v>
      </c>
      <c r="E1" t="s">
        <v>1</v>
      </c>
      <c r="F1" t="s">
        <v>5</v>
      </c>
      <c r="G1" t="s">
        <v>2</v>
      </c>
      <c r="H1" t="s">
        <v>3</v>
      </c>
      <c r="I1" t="s">
        <v>4</v>
      </c>
      <c r="J1" t="s">
        <v>19</v>
      </c>
      <c r="K1" t="s">
        <v>20</v>
      </c>
      <c r="L1" t="s">
        <v>21</v>
      </c>
      <c r="M1" t="s">
        <v>6</v>
      </c>
      <c r="N1" t="s">
        <v>25</v>
      </c>
      <c r="O1" t="s">
        <v>8</v>
      </c>
      <c r="P1" t="s">
        <v>7</v>
      </c>
      <c r="Q1" t="s">
        <v>11</v>
      </c>
      <c r="R1" t="s">
        <v>9</v>
      </c>
      <c r="S1" t="s">
        <v>10</v>
      </c>
      <c r="T1" t="s">
        <v>12</v>
      </c>
      <c r="U1" t="s">
        <v>13</v>
      </c>
      <c r="V1" t="s">
        <v>14</v>
      </c>
      <c r="W1" t="s">
        <v>25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36</v>
      </c>
      <c r="AF1" t="s">
        <v>22</v>
      </c>
      <c r="AG1" t="s">
        <v>23</v>
      </c>
      <c r="AH1" t="s">
        <v>24</v>
      </c>
    </row>
    <row r="2" spans="1:34" x14ac:dyDescent="0.3">
      <c r="A2" t="s">
        <v>16</v>
      </c>
      <c r="B2">
        <v>300</v>
      </c>
      <c r="C2">
        <f>1/B2</f>
        <v>3.3333333333333335E-3</v>
      </c>
      <c r="F2">
        <f>D2+E2</f>
        <v>0</v>
      </c>
      <c r="I2">
        <f>G2+H2</f>
        <v>0</v>
      </c>
      <c r="J2" t="e">
        <f>(D2-G2)/(E2-H2)</f>
        <v>#DIV/0!</v>
      </c>
      <c r="K2">
        <v>50</v>
      </c>
      <c r="L2" t="e">
        <f>COSH((J2-1)/(J2+1) * K2 / LN(2)) - 0.5 * EXP(LN(2)/K2)</f>
        <v>#DIV/0!</v>
      </c>
      <c r="M2">
        <f>PI() * AF2 / 2 / LN(2) * K2 * (F2 -I2)/2/AG2 * 100000</f>
        <v>0</v>
      </c>
      <c r="N2" t="s">
        <v>25</v>
      </c>
      <c r="Q2">
        <f>P2-O2</f>
        <v>0</v>
      </c>
      <c r="T2">
        <f>S2-R2</f>
        <v>0</v>
      </c>
      <c r="U2">
        <f>(T2+Q2)/2</f>
        <v>0</v>
      </c>
      <c r="V2">
        <f>$AF$2/$AH$2*(U2)/$AG$2*100000</f>
        <v>0</v>
      </c>
      <c r="X2" t="e">
        <f>$AF$5*$M$2/M2</f>
        <v>#DIV/0!</v>
      </c>
      <c r="Y2">
        <f>4*POWER(10,9)/POWER(B2,2.6)</f>
        <v>1450.5901664607054</v>
      </c>
      <c r="Z2">
        <f>2.5*POWER(10,8)/POWER(B2,2.3)</f>
        <v>501.83520259752129</v>
      </c>
      <c r="AA2">
        <f>Y2/Z2</f>
        <v>2.8905707669617162</v>
      </c>
      <c r="AB2" t="e">
        <f>(1/1.602*POWER(10,19)/Z2/M2+AA2*$AG$5)/(AA2+1)</f>
        <v>#DIV/0!</v>
      </c>
      <c r="AC2" t="e">
        <f>(1/1.602*POWER(10,19)/Z2/M2-$AG$5)/(AA2+1)</f>
        <v>#DIV/0!</v>
      </c>
      <c r="AD2" t="e">
        <f>LN(AB2*AC2/POWER(B2,3))</f>
        <v>#DIV/0!</v>
      </c>
      <c r="AF2">
        <v>1.1240000000000001</v>
      </c>
      <c r="AG2">
        <v>100</v>
      </c>
      <c r="AH2">
        <v>0.43</v>
      </c>
    </row>
    <row r="3" spans="1:34" x14ac:dyDescent="0.3">
      <c r="A3" t="s">
        <v>17</v>
      </c>
      <c r="B3">
        <v>300</v>
      </c>
      <c r="C3">
        <f t="shared" ref="C3:C24" si="0">1/B3</f>
        <v>3.3333333333333335E-3</v>
      </c>
      <c r="F3">
        <f t="shared" ref="F3:F24" si="1">D3+E3</f>
        <v>0</v>
      </c>
      <c r="I3">
        <f t="shared" ref="I3:I24" si="2">G3+H3</f>
        <v>0</v>
      </c>
      <c r="J3" t="e">
        <f t="shared" ref="J3:J24" si="3">(D3-G3)/(E3-H3)</f>
        <v>#DIV/0!</v>
      </c>
      <c r="K3">
        <v>51</v>
      </c>
      <c r="L3" t="e">
        <f t="shared" ref="L3:L24" si="4">COSH((J3-1)/(J3+1) * K3 / LN(2)) - 0.5 * EXP(LN(2)/K3)</f>
        <v>#DIV/0!</v>
      </c>
      <c r="M3" t="e">
        <f t="shared" ref="M3:M24" si="5">PI() * AF3 / 2 / LN(2) * K3 * (F3 -I3)/2/AG3 * 100000</f>
        <v>#DIV/0!</v>
      </c>
      <c r="N3" t="s">
        <v>25</v>
      </c>
      <c r="Q3">
        <f t="shared" ref="Q3:Q24" si="6">P3-O3</f>
        <v>0</v>
      </c>
      <c r="T3">
        <f t="shared" ref="T3:T24" si="7">S3-R3</f>
        <v>0</v>
      </c>
      <c r="U3">
        <f t="shared" ref="U3:U24" si="8">(T3+Q3)/2</f>
        <v>0</v>
      </c>
      <c r="V3">
        <f t="shared" ref="V3:V24" si="9">$AF$2/$AH$2*(U3)/$AG$2*100000</f>
        <v>0</v>
      </c>
      <c r="X3" t="e">
        <f t="shared" ref="X3:X24" si="10">$AF$5*$M$2/M3</f>
        <v>#DIV/0!</v>
      </c>
      <c r="Y3">
        <f t="shared" ref="Y3:Y24" si="11">4*POWER(10,9)/POWER(B3,2.6)</f>
        <v>1450.5901664607054</v>
      </c>
      <c r="Z3">
        <f t="shared" ref="Z3:Z24" si="12">2.5*POWER(10,8)/POWER(B3,2.3)</f>
        <v>501.83520259752129</v>
      </c>
      <c r="AA3">
        <f t="shared" ref="AA3:AA24" si="13">Y3/Z3</f>
        <v>2.8905707669617162</v>
      </c>
      <c r="AB3" t="e">
        <f t="shared" ref="AB3:AB24" si="14">(1/1.602*POWER(10,19)/Z3/M3+AA3*$AG$5)/(AA3+1)</f>
        <v>#DIV/0!</v>
      </c>
      <c r="AC3" t="e">
        <f t="shared" ref="AC3:AC24" si="15">(1/1.602*POWER(10,19)/Z3/M3-$AG$5)/(AA3+1)</f>
        <v>#DIV/0!</v>
      </c>
      <c r="AD3" t="e">
        <f t="shared" ref="AD3:AD24" si="16">LN(AB3*AC3/POWER(B3,3))</f>
        <v>#DIV/0!</v>
      </c>
    </row>
    <row r="4" spans="1:34" x14ac:dyDescent="0.3">
      <c r="A4">
        <v>40</v>
      </c>
      <c r="C4" t="e">
        <f t="shared" si="0"/>
        <v>#DIV/0!</v>
      </c>
      <c r="F4">
        <f t="shared" si="1"/>
        <v>0</v>
      </c>
      <c r="I4">
        <f t="shared" si="2"/>
        <v>0</v>
      </c>
      <c r="J4" t="e">
        <f t="shared" si="3"/>
        <v>#DIV/0!</v>
      </c>
      <c r="K4">
        <v>52</v>
      </c>
      <c r="L4" t="e">
        <f t="shared" si="4"/>
        <v>#DIV/0!</v>
      </c>
      <c r="M4" t="e">
        <f t="shared" si="5"/>
        <v>#VALUE!</v>
      </c>
      <c r="N4" t="s">
        <v>25</v>
      </c>
      <c r="Q4">
        <f t="shared" si="6"/>
        <v>0</v>
      </c>
      <c r="T4">
        <f t="shared" si="7"/>
        <v>0</v>
      </c>
      <c r="U4">
        <f t="shared" si="8"/>
        <v>0</v>
      </c>
      <c r="V4">
        <f t="shared" si="9"/>
        <v>0</v>
      </c>
      <c r="X4" t="e">
        <f t="shared" si="10"/>
        <v>#VALUE!</v>
      </c>
      <c r="Y4" t="e">
        <f t="shared" si="11"/>
        <v>#DIV/0!</v>
      </c>
      <c r="Z4" t="e">
        <f t="shared" si="12"/>
        <v>#DIV/0!</v>
      </c>
      <c r="AA4" t="e">
        <f t="shared" si="13"/>
        <v>#DIV/0!</v>
      </c>
      <c r="AB4" t="e">
        <f t="shared" si="14"/>
        <v>#DIV/0!</v>
      </c>
      <c r="AC4" t="e">
        <f t="shared" si="15"/>
        <v>#DIV/0!</v>
      </c>
      <c r="AD4" t="e">
        <f t="shared" si="16"/>
        <v>#DIV/0!</v>
      </c>
      <c r="AF4" t="s">
        <v>26</v>
      </c>
      <c r="AG4" t="s">
        <v>33</v>
      </c>
      <c r="AH4" t="s">
        <v>35</v>
      </c>
    </row>
    <row r="5" spans="1:34" x14ac:dyDescent="0.3">
      <c r="A5">
        <v>50</v>
      </c>
      <c r="C5" t="e">
        <f t="shared" si="0"/>
        <v>#DIV/0!</v>
      </c>
      <c r="F5">
        <f t="shared" si="1"/>
        <v>0</v>
      </c>
      <c r="I5">
        <f t="shared" si="2"/>
        <v>0</v>
      </c>
      <c r="J5" t="e">
        <f t="shared" si="3"/>
        <v>#DIV/0!</v>
      </c>
      <c r="K5">
        <v>53</v>
      </c>
      <c r="L5" t="e">
        <f t="shared" si="4"/>
        <v>#DIV/0!</v>
      </c>
      <c r="M5" t="e">
        <f t="shared" si="5"/>
        <v>#DIV/0!</v>
      </c>
      <c r="N5" t="s">
        <v>25</v>
      </c>
      <c r="Q5">
        <f t="shared" si="6"/>
        <v>0</v>
      </c>
      <c r="T5">
        <f t="shared" si="7"/>
        <v>0</v>
      </c>
      <c r="U5">
        <f t="shared" si="8"/>
        <v>0</v>
      </c>
      <c r="V5">
        <f t="shared" si="9"/>
        <v>0</v>
      </c>
      <c r="X5" t="e">
        <f t="shared" si="10"/>
        <v>#DIV/0!</v>
      </c>
      <c r="Y5" t="e">
        <f t="shared" si="11"/>
        <v>#DIV/0!</v>
      </c>
      <c r="Z5" t="e">
        <f t="shared" si="12"/>
        <v>#DIV/0!</v>
      </c>
      <c r="AA5" t="e">
        <f t="shared" si="13"/>
        <v>#DIV/0!</v>
      </c>
      <c r="AB5" t="e">
        <f t="shared" si="14"/>
        <v>#DIV/0!</v>
      </c>
      <c r="AC5" t="e">
        <f t="shared" si="15"/>
        <v>#DIV/0!</v>
      </c>
      <c r="AD5" t="e">
        <f t="shared" si="16"/>
        <v>#DIV/0!</v>
      </c>
      <c r="AF5">
        <v>480</v>
      </c>
      <c r="AG5" t="e">
        <f>1/1.602*POWER(10,19)/Y3/M3</f>
        <v>#DIV/0!</v>
      </c>
      <c r="AH5">
        <f>1.38064852*POWER(10,-23)</f>
        <v>1.3806485200000002E-23</v>
      </c>
    </row>
    <row r="6" spans="1:34" x14ac:dyDescent="0.3">
      <c r="A6">
        <v>60</v>
      </c>
      <c r="C6" t="e">
        <f t="shared" si="0"/>
        <v>#DIV/0!</v>
      </c>
      <c r="F6">
        <f t="shared" si="1"/>
        <v>0</v>
      </c>
      <c r="I6">
        <f t="shared" si="2"/>
        <v>0</v>
      </c>
      <c r="J6" t="e">
        <f t="shared" si="3"/>
        <v>#DIV/0!</v>
      </c>
      <c r="K6">
        <v>54</v>
      </c>
      <c r="L6" t="e">
        <f t="shared" si="4"/>
        <v>#DIV/0!</v>
      </c>
      <c r="M6" t="e">
        <f t="shared" si="5"/>
        <v>#DIV/0!</v>
      </c>
      <c r="N6" t="s">
        <v>25</v>
      </c>
      <c r="Q6">
        <f t="shared" si="6"/>
        <v>0</v>
      </c>
      <c r="T6">
        <f t="shared" si="7"/>
        <v>0</v>
      </c>
      <c r="U6">
        <f t="shared" si="8"/>
        <v>0</v>
      </c>
      <c r="V6">
        <f t="shared" si="9"/>
        <v>0</v>
      </c>
      <c r="X6" t="e">
        <f t="shared" si="10"/>
        <v>#DIV/0!</v>
      </c>
      <c r="Y6" t="e">
        <f t="shared" si="11"/>
        <v>#DIV/0!</v>
      </c>
      <c r="Z6" t="e">
        <f t="shared" si="12"/>
        <v>#DIV/0!</v>
      </c>
      <c r="AA6" t="e">
        <f t="shared" si="13"/>
        <v>#DIV/0!</v>
      </c>
      <c r="AB6" t="e">
        <f t="shared" si="14"/>
        <v>#DIV/0!</v>
      </c>
      <c r="AC6" t="e">
        <f t="shared" si="15"/>
        <v>#DIV/0!</v>
      </c>
      <c r="AD6" t="e">
        <f t="shared" si="16"/>
        <v>#DIV/0!</v>
      </c>
    </row>
    <row r="7" spans="1:34" x14ac:dyDescent="0.3">
      <c r="A7">
        <v>70</v>
      </c>
      <c r="C7" t="e">
        <f t="shared" si="0"/>
        <v>#DIV/0!</v>
      </c>
      <c r="F7">
        <f t="shared" si="1"/>
        <v>0</v>
      </c>
      <c r="I7">
        <f t="shared" si="2"/>
        <v>0</v>
      </c>
      <c r="J7" t="e">
        <f t="shared" si="3"/>
        <v>#DIV/0!</v>
      </c>
      <c r="K7">
        <v>55</v>
      </c>
      <c r="L7" t="e">
        <f t="shared" si="4"/>
        <v>#DIV/0!</v>
      </c>
      <c r="M7" t="e">
        <f t="shared" si="5"/>
        <v>#DIV/0!</v>
      </c>
      <c r="N7" t="s">
        <v>25</v>
      </c>
      <c r="Q7">
        <f t="shared" si="6"/>
        <v>0</v>
      </c>
      <c r="T7">
        <f t="shared" si="7"/>
        <v>0</v>
      </c>
      <c r="U7">
        <f t="shared" si="8"/>
        <v>0</v>
      </c>
      <c r="V7">
        <f t="shared" si="9"/>
        <v>0</v>
      </c>
      <c r="X7" t="e">
        <f t="shared" si="10"/>
        <v>#DIV/0!</v>
      </c>
      <c r="Y7" t="e">
        <f t="shared" si="11"/>
        <v>#DIV/0!</v>
      </c>
      <c r="Z7" t="e">
        <f t="shared" si="12"/>
        <v>#DIV/0!</v>
      </c>
      <c r="AA7" t="e">
        <f t="shared" si="13"/>
        <v>#DIV/0!</v>
      </c>
      <c r="AB7" t="e">
        <f t="shared" si="14"/>
        <v>#DIV/0!</v>
      </c>
      <c r="AC7" t="e">
        <f t="shared" si="15"/>
        <v>#DIV/0!</v>
      </c>
      <c r="AD7" t="e">
        <f t="shared" si="16"/>
        <v>#DIV/0!</v>
      </c>
    </row>
    <row r="8" spans="1:34" x14ac:dyDescent="0.3">
      <c r="A8">
        <v>80</v>
      </c>
      <c r="C8" t="e">
        <f t="shared" si="0"/>
        <v>#DIV/0!</v>
      </c>
      <c r="F8">
        <f t="shared" si="1"/>
        <v>0</v>
      </c>
      <c r="I8">
        <f t="shared" si="2"/>
        <v>0</v>
      </c>
      <c r="J8" t="e">
        <f t="shared" si="3"/>
        <v>#DIV/0!</v>
      </c>
      <c r="K8">
        <v>56</v>
      </c>
      <c r="L8" t="e">
        <f t="shared" si="4"/>
        <v>#DIV/0!</v>
      </c>
      <c r="M8" t="e">
        <f t="shared" si="5"/>
        <v>#DIV/0!</v>
      </c>
      <c r="N8" t="s">
        <v>25</v>
      </c>
      <c r="Q8">
        <f t="shared" si="6"/>
        <v>0</v>
      </c>
      <c r="T8">
        <f t="shared" si="7"/>
        <v>0</v>
      </c>
      <c r="U8">
        <f t="shared" si="8"/>
        <v>0</v>
      </c>
      <c r="V8">
        <f t="shared" si="9"/>
        <v>0</v>
      </c>
      <c r="X8" t="e">
        <f t="shared" si="10"/>
        <v>#DIV/0!</v>
      </c>
      <c r="Y8" t="e">
        <f t="shared" si="11"/>
        <v>#DIV/0!</v>
      </c>
      <c r="Z8" t="e">
        <f t="shared" si="12"/>
        <v>#DIV/0!</v>
      </c>
      <c r="AA8" t="e">
        <f t="shared" si="13"/>
        <v>#DIV/0!</v>
      </c>
      <c r="AB8" t="e">
        <f t="shared" si="14"/>
        <v>#DIV/0!</v>
      </c>
      <c r="AC8" t="e">
        <f t="shared" si="15"/>
        <v>#DIV/0!</v>
      </c>
      <c r="AD8" t="e">
        <f t="shared" si="16"/>
        <v>#DIV/0!</v>
      </c>
    </row>
    <row r="9" spans="1:34" x14ac:dyDescent="0.3">
      <c r="A9">
        <v>90</v>
      </c>
      <c r="C9" t="e">
        <f t="shared" si="0"/>
        <v>#DIV/0!</v>
      </c>
      <c r="F9">
        <f t="shared" si="1"/>
        <v>0</v>
      </c>
      <c r="I9">
        <f t="shared" si="2"/>
        <v>0</v>
      </c>
      <c r="J9" t="e">
        <f t="shared" si="3"/>
        <v>#DIV/0!</v>
      </c>
      <c r="K9">
        <v>57</v>
      </c>
      <c r="L9" t="e">
        <f t="shared" si="4"/>
        <v>#DIV/0!</v>
      </c>
      <c r="M9" t="e">
        <f t="shared" si="5"/>
        <v>#DIV/0!</v>
      </c>
      <c r="N9" t="s">
        <v>25</v>
      </c>
      <c r="Q9">
        <f t="shared" si="6"/>
        <v>0</v>
      </c>
      <c r="T9">
        <f t="shared" si="7"/>
        <v>0</v>
      </c>
      <c r="U9">
        <f t="shared" si="8"/>
        <v>0</v>
      </c>
      <c r="V9">
        <f t="shared" si="9"/>
        <v>0</v>
      </c>
      <c r="X9" t="e">
        <f t="shared" si="10"/>
        <v>#DIV/0!</v>
      </c>
      <c r="Y9" t="e">
        <f t="shared" si="11"/>
        <v>#DIV/0!</v>
      </c>
      <c r="Z9" t="e">
        <f t="shared" si="12"/>
        <v>#DIV/0!</v>
      </c>
      <c r="AA9" t="e">
        <f t="shared" si="13"/>
        <v>#DIV/0!</v>
      </c>
      <c r="AB9" t="e">
        <f t="shared" si="14"/>
        <v>#DIV/0!</v>
      </c>
      <c r="AC9" t="e">
        <f t="shared" si="15"/>
        <v>#DIV/0!</v>
      </c>
      <c r="AD9" t="e">
        <f t="shared" si="16"/>
        <v>#DIV/0!</v>
      </c>
    </row>
    <row r="10" spans="1:34" x14ac:dyDescent="0.3">
      <c r="A10">
        <v>100</v>
      </c>
      <c r="C10" t="e">
        <f t="shared" si="0"/>
        <v>#DIV/0!</v>
      </c>
      <c r="F10">
        <f t="shared" si="1"/>
        <v>0</v>
      </c>
      <c r="I10">
        <f t="shared" si="2"/>
        <v>0</v>
      </c>
      <c r="J10" t="e">
        <f t="shared" si="3"/>
        <v>#DIV/0!</v>
      </c>
      <c r="K10">
        <v>58</v>
      </c>
      <c r="L10" t="e">
        <f t="shared" si="4"/>
        <v>#DIV/0!</v>
      </c>
      <c r="M10" t="e">
        <f t="shared" si="5"/>
        <v>#DIV/0!</v>
      </c>
      <c r="N10" t="s">
        <v>25</v>
      </c>
      <c r="Q10">
        <f t="shared" si="6"/>
        <v>0</v>
      </c>
      <c r="T10">
        <f t="shared" si="7"/>
        <v>0</v>
      </c>
      <c r="U10">
        <f t="shared" si="8"/>
        <v>0</v>
      </c>
      <c r="V10">
        <f t="shared" si="9"/>
        <v>0</v>
      </c>
      <c r="X10" t="e">
        <f t="shared" si="10"/>
        <v>#DIV/0!</v>
      </c>
      <c r="Y10" t="e">
        <f t="shared" si="11"/>
        <v>#DIV/0!</v>
      </c>
      <c r="Z10" t="e">
        <f t="shared" si="12"/>
        <v>#DIV/0!</v>
      </c>
      <c r="AA10" t="e">
        <f t="shared" si="13"/>
        <v>#DIV/0!</v>
      </c>
      <c r="AB10" t="e">
        <f t="shared" si="14"/>
        <v>#DIV/0!</v>
      </c>
      <c r="AC10" t="e">
        <f t="shared" si="15"/>
        <v>#DIV/0!</v>
      </c>
      <c r="AD10" t="e">
        <f t="shared" si="16"/>
        <v>#DIV/0!</v>
      </c>
    </row>
    <row r="11" spans="1:34" x14ac:dyDescent="0.3">
      <c r="A11">
        <v>107</v>
      </c>
      <c r="C11" t="e">
        <f t="shared" si="0"/>
        <v>#DIV/0!</v>
      </c>
      <c r="F11">
        <f t="shared" si="1"/>
        <v>0</v>
      </c>
      <c r="I11">
        <f t="shared" si="2"/>
        <v>0</v>
      </c>
      <c r="J11" t="e">
        <f t="shared" si="3"/>
        <v>#DIV/0!</v>
      </c>
      <c r="K11">
        <v>59</v>
      </c>
      <c r="L11" t="e">
        <f t="shared" si="4"/>
        <v>#DIV/0!</v>
      </c>
      <c r="M11" t="e">
        <f t="shared" si="5"/>
        <v>#DIV/0!</v>
      </c>
      <c r="N11" t="s">
        <v>25</v>
      </c>
      <c r="Q11">
        <f t="shared" si="6"/>
        <v>0</v>
      </c>
      <c r="T11">
        <f t="shared" si="7"/>
        <v>0</v>
      </c>
      <c r="U11">
        <f t="shared" si="8"/>
        <v>0</v>
      </c>
      <c r="V11">
        <f t="shared" si="9"/>
        <v>0</v>
      </c>
      <c r="X11" t="e">
        <f t="shared" si="10"/>
        <v>#DIV/0!</v>
      </c>
      <c r="Y11" t="e">
        <f t="shared" si="11"/>
        <v>#DIV/0!</v>
      </c>
      <c r="Z11" t="e">
        <f t="shared" si="12"/>
        <v>#DIV/0!</v>
      </c>
      <c r="AA11" t="e">
        <f t="shared" si="13"/>
        <v>#DIV/0!</v>
      </c>
      <c r="AB11" t="e">
        <f t="shared" si="14"/>
        <v>#DIV/0!</v>
      </c>
      <c r="AC11" t="e">
        <f t="shared" si="15"/>
        <v>#DIV/0!</v>
      </c>
      <c r="AD11" t="e">
        <f t="shared" si="16"/>
        <v>#DIV/0!</v>
      </c>
    </row>
    <row r="12" spans="1:34" x14ac:dyDescent="0.3">
      <c r="A12">
        <v>114</v>
      </c>
      <c r="C12" t="e">
        <f t="shared" si="0"/>
        <v>#DIV/0!</v>
      </c>
      <c r="F12">
        <f t="shared" si="1"/>
        <v>0</v>
      </c>
      <c r="I12">
        <f t="shared" si="2"/>
        <v>0</v>
      </c>
      <c r="J12" t="e">
        <f t="shared" si="3"/>
        <v>#DIV/0!</v>
      </c>
      <c r="K12">
        <v>60</v>
      </c>
      <c r="L12" t="e">
        <f t="shared" si="4"/>
        <v>#DIV/0!</v>
      </c>
      <c r="M12" t="e">
        <f t="shared" si="5"/>
        <v>#DIV/0!</v>
      </c>
      <c r="N12" t="s">
        <v>25</v>
      </c>
      <c r="Q12">
        <f t="shared" si="6"/>
        <v>0</v>
      </c>
      <c r="T12">
        <f t="shared" si="7"/>
        <v>0</v>
      </c>
      <c r="U12">
        <f t="shared" si="8"/>
        <v>0</v>
      </c>
      <c r="V12">
        <f t="shared" si="9"/>
        <v>0</v>
      </c>
      <c r="X12" t="e">
        <f t="shared" si="10"/>
        <v>#DIV/0!</v>
      </c>
      <c r="Y12" t="e">
        <f t="shared" si="11"/>
        <v>#DIV/0!</v>
      </c>
      <c r="Z12" t="e">
        <f t="shared" si="12"/>
        <v>#DIV/0!</v>
      </c>
      <c r="AA12" t="e">
        <f t="shared" si="13"/>
        <v>#DIV/0!</v>
      </c>
      <c r="AB12" t="e">
        <f t="shared" si="14"/>
        <v>#DIV/0!</v>
      </c>
      <c r="AC12" t="e">
        <f t="shared" si="15"/>
        <v>#DIV/0!</v>
      </c>
      <c r="AD12" t="e">
        <f t="shared" si="16"/>
        <v>#DIV/0!</v>
      </c>
    </row>
    <row r="13" spans="1:34" x14ac:dyDescent="0.3">
      <c r="A13">
        <v>121</v>
      </c>
      <c r="C13" t="e">
        <f t="shared" si="0"/>
        <v>#DIV/0!</v>
      </c>
      <c r="F13">
        <f t="shared" si="1"/>
        <v>0</v>
      </c>
      <c r="I13">
        <f t="shared" si="2"/>
        <v>0</v>
      </c>
      <c r="J13" t="e">
        <f t="shared" si="3"/>
        <v>#DIV/0!</v>
      </c>
      <c r="K13">
        <v>61</v>
      </c>
      <c r="L13" t="e">
        <f t="shared" si="4"/>
        <v>#DIV/0!</v>
      </c>
      <c r="M13" t="e">
        <f t="shared" si="5"/>
        <v>#DIV/0!</v>
      </c>
      <c r="N13" t="s">
        <v>25</v>
      </c>
      <c r="Q13">
        <f t="shared" si="6"/>
        <v>0</v>
      </c>
      <c r="T13">
        <f t="shared" si="7"/>
        <v>0</v>
      </c>
      <c r="U13">
        <f t="shared" si="8"/>
        <v>0</v>
      </c>
      <c r="V13">
        <f t="shared" si="9"/>
        <v>0</v>
      </c>
      <c r="X13" t="e">
        <f t="shared" si="10"/>
        <v>#DIV/0!</v>
      </c>
      <c r="Y13" t="e">
        <f t="shared" si="11"/>
        <v>#DIV/0!</v>
      </c>
      <c r="Z13" t="e">
        <f t="shared" si="12"/>
        <v>#DIV/0!</v>
      </c>
      <c r="AA13" t="e">
        <f t="shared" si="13"/>
        <v>#DIV/0!</v>
      </c>
      <c r="AB13" t="e">
        <f t="shared" si="14"/>
        <v>#DIV/0!</v>
      </c>
      <c r="AC13" t="e">
        <f t="shared" si="15"/>
        <v>#DIV/0!</v>
      </c>
      <c r="AD13" t="e">
        <f t="shared" si="16"/>
        <v>#DIV/0!</v>
      </c>
    </row>
    <row r="14" spans="1:34" x14ac:dyDescent="0.3">
      <c r="A14">
        <v>128</v>
      </c>
      <c r="C14" t="e">
        <f t="shared" si="0"/>
        <v>#DIV/0!</v>
      </c>
      <c r="F14">
        <f t="shared" si="1"/>
        <v>0</v>
      </c>
      <c r="I14">
        <f t="shared" si="2"/>
        <v>0</v>
      </c>
      <c r="J14" t="e">
        <f t="shared" si="3"/>
        <v>#DIV/0!</v>
      </c>
      <c r="K14">
        <v>62</v>
      </c>
      <c r="L14" t="e">
        <f t="shared" si="4"/>
        <v>#DIV/0!</v>
      </c>
      <c r="M14" t="e">
        <f t="shared" si="5"/>
        <v>#DIV/0!</v>
      </c>
      <c r="N14" t="s">
        <v>25</v>
      </c>
      <c r="Q14">
        <f t="shared" si="6"/>
        <v>0</v>
      </c>
      <c r="T14">
        <f t="shared" si="7"/>
        <v>0</v>
      </c>
      <c r="U14">
        <f t="shared" si="8"/>
        <v>0</v>
      </c>
      <c r="V14">
        <f t="shared" si="9"/>
        <v>0</v>
      </c>
      <c r="X14" t="e">
        <f t="shared" si="10"/>
        <v>#DIV/0!</v>
      </c>
      <c r="Y14" t="e">
        <f t="shared" si="11"/>
        <v>#DIV/0!</v>
      </c>
      <c r="Z14" t="e">
        <f t="shared" si="12"/>
        <v>#DIV/0!</v>
      </c>
      <c r="AA14" t="e">
        <f t="shared" si="13"/>
        <v>#DIV/0!</v>
      </c>
      <c r="AB14" t="e">
        <f t="shared" si="14"/>
        <v>#DIV/0!</v>
      </c>
      <c r="AC14" t="e">
        <f t="shared" si="15"/>
        <v>#DIV/0!</v>
      </c>
      <c r="AD14" t="e">
        <f t="shared" si="16"/>
        <v>#DIV/0!</v>
      </c>
    </row>
    <row r="15" spans="1:34" x14ac:dyDescent="0.3">
      <c r="A15">
        <v>135</v>
      </c>
      <c r="C15" t="e">
        <f t="shared" si="0"/>
        <v>#DIV/0!</v>
      </c>
      <c r="F15">
        <f t="shared" si="1"/>
        <v>0</v>
      </c>
      <c r="I15">
        <f t="shared" si="2"/>
        <v>0</v>
      </c>
      <c r="J15" t="e">
        <f t="shared" si="3"/>
        <v>#DIV/0!</v>
      </c>
      <c r="K15">
        <v>63</v>
      </c>
      <c r="L15" t="e">
        <f t="shared" si="4"/>
        <v>#DIV/0!</v>
      </c>
      <c r="M15" t="e">
        <f t="shared" si="5"/>
        <v>#DIV/0!</v>
      </c>
      <c r="N15" t="s">
        <v>25</v>
      </c>
      <c r="Q15">
        <f t="shared" si="6"/>
        <v>0</v>
      </c>
      <c r="T15">
        <f t="shared" si="7"/>
        <v>0</v>
      </c>
      <c r="U15">
        <f t="shared" si="8"/>
        <v>0</v>
      </c>
      <c r="V15">
        <f t="shared" si="9"/>
        <v>0</v>
      </c>
      <c r="X15" t="e">
        <f t="shared" si="10"/>
        <v>#DIV/0!</v>
      </c>
      <c r="Y15" t="e">
        <f t="shared" si="11"/>
        <v>#DIV/0!</v>
      </c>
      <c r="Z15" t="e">
        <f t="shared" si="12"/>
        <v>#DIV/0!</v>
      </c>
      <c r="AA15" t="e">
        <f t="shared" si="13"/>
        <v>#DIV/0!</v>
      </c>
      <c r="AB15" t="e">
        <f t="shared" si="14"/>
        <v>#DIV/0!</v>
      </c>
      <c r="AC15" t="e">
        <f t="shared" si="15"/>
        <v>#DIV/0!</v>
      </c>
      <c r="AD15" t="e">
        <f t="shared" si="16"/>
        <v>#DIV/0!</v>
      </c>
    </row>
    <row r="16" spans="1:34" x14ac:dyDescent="0.3">
      <c r="A16">
        <v>141</v>
      </c>
      <c r="C16" t="e">
        <f t="shared" si="0"/>
        <v>#DIV/0!</v>
      </c>
      <c r="F16">
        <f t="shared" si="1"/>
        <v>0</v>
      </c>
      <c r="I16">
        <f t="shared" si="2"/>
        <v>0</v>
      </c>
      <c r="J16" t="e">
        <f t="shared" si="3"/>
        <v>#DIV/0!</v>
      </c>
      <c r="K16">
        <v>64</v>
      </c>
      <c r="L16" t="e">
        <f t="shared" si="4"/>
        <v>#DIV/0!</v>
      </c>
      <c r="M16" t="e">
        <f t="shared" si="5"/>
        <v>#DIV/0!</v>
      </c>
      <c r="N16" t="s">
        <v>25</v>
      </c>
      <c r="Q16">
        <f t="shared" si="6"/>
        <v>0</v>
      </c>
      <c r="T16">
        <f t="shared" si="7"/>
        <v>0</v>
      </c>
      <c r="U16">
        <f t="shared" si="8"/>
        <v>0</v>
      </c>
      <c r="V16">
        <f t="shared" si="9"/>
        <v>0</v>
      </c>
      <c r="X16" t="e">
        <f t="shared" si="10"/>
        <v>#DIV/0!</v>
      </c>
      <c r="Y16" t="e">
        <f t="shared" si="11"/>
        <v>#DIV/0!</v>
      </c>
      <c r="Z16" t="e">
        <f t="shared" si="12"/>
        <v>#DIV/0!</v>
      </c>
      <c r="AA16" t="e">
        <f t="shared" si="13"/>
        <v>#DIV/0!</v>
      </c>
      <c r="AB16" t="e">
        <f t="shared" si="14"/>
        <v>#DIV/0!</v>
      </c>
      <c r="AC16" t="e">
        <f t="shared" si="15"/>
        <v>#DIV/0!</v>
      </c>
      <c r="AD16" t="e">
        <f t="shared" si="16"/>
        <v>#DIV/0!</v>
      </c>
    </row>
    <row r="17" spans="1:30" x14ac:dyDescent="0.3">
      <c r="A17">
        <v>144</v>
      </c>
      <c r="C17" t="e">
        <f t="shared" si="0"/>
        <v>#DIV/0!</v>
      </c>
      <c r="F17">
        <f t="shared" si="1"/>
        <v>0</v>
      </c>
      <c r="I17">
        <f t="shared" si="2"/>
        <v>0</v>
      </c>
      <c r="J17" t="e">
        <f t="shared" si="3"/>
        <v>#DIV/0!</v>
      </c>
      <c r="K17">
        <v>65</v>
      </c>
      <c r="L17" t="e">
        <f t="shared" si="4"/>
        <v>#DIV/0!</v>
      </c>
      <c r="M17" t="e">
        <f t="shared" si="5"/>
        <v>#DIV/0!</v>
      </c>
      <c r="N17" t="s">
        <v>25</v>
      </c>
      <c r="Q17">
        <f t="shared" si="6"/>
        <v>0</v>
      </c>
      <c r="T17">
        <f t="shared" si="7"/>
        <v>0</v>
      </c>
      <c r="U17">
        <f t="shared" si="8"/>
        <v>0</v>
      </c>
      <c r="V17">
        <f t="shared" si="9"/>
        <v>0</v>
      </c>
      <c r="X17" t="e">
        <f t="shared" si="10"/>
        <v>#DIV/0!</v>
      </c>
      <c r="Y17" t="e">
        <f t="shared" si="11"/>
        <v>#DIV/0!</v>
      </c>
      <c r="Z17" t="e">
        <f t="shared" si="12"/>
        <v>#DIV/0!</v>
      </c>
      <c r="AA17" t="e">
        <f t="shared" si="13"/>
        <v>#DIV/0!</v>
      </c>
      <c r="AB17" t="e">
        <f t="shared" si="14"/>
        <v>#DIV/0!</v>
      </c>
      <c r="AC17" t="e">
        <f t="shared" si="15"/>
        <v>#DIV/0!</v>
      </c>
      <c r="AD17" t="e">
        <f t="shared" si="16"/>
        <v>#DIV/0!</v>
      </c>
    </row>
    <row r="18" spans="1:30" x14ac:dyDescent="0.3">
      <c r="A18">
        <v>147</v>
      </c>
      <c r="C18" t="e">
        <f t="shared" si="0"/>
        <v>#DIV/0!</v>
      </c>
      <c r="F18">
        <f t="shared" si="1"/>
        <v>0</v>
      </c>
      <c r="I18">
        <f t="shared" si="2"/>
        <v>0</v>
      </c>
      <c r="J18" t="e">
        <f t="shared" si="3"/>
        <v>#DIV/0!</v>
      </c>
      <c r="K18">
        <v>66</v>
      </c>
      <c r="L18" t="e">
        <f t="shared" si="4"/>
        <v>#DIV/0!</v>
      </c>
      <c r="M18" t="e">
        <f t="shared" si="5"/>
        <v>#DIV/0!</v>
      </c>
      <c r="N18" t="s">
        <v>25</v>
      </c>
      <c r="Q18">
        <f t="shared" si="6"/>
        <v>0</v>
      </c>
      <c r="T18">
        <f t="shared" si="7"/>
        <v>0</v>
      </c>
      <c r="U18">
        <f t="shared" si="8"/>
        <v>0</v>
      </c>
      <c r="V18">
        <f t="shared" si="9"/>
        <v>0</v>
      </c>
      <c r="X18" t="e">
        <f t="shared" si="10"/>
        <v>#DIV/0!</v>
      </c>
      <c r="Y18" t="e">
        <f t="shared" si="11"/>
        <v>#DIV/0!</v>
      </c>
      <c r="Z18" t="e">
        <f t="shared" si="12"/>
        <v>#DIV/0!</v>
      </c>
      <c r="AA18" t="e">
        <f t="shared" si="13"/>
        <v>#DIV/0!</v>
      </c>
      <c r="AB18" t="e">
        <f t="shared" si="14"/>
        <v>#DIV/0!</v>
      </c>
      <c r="AC18" t="e">
        <f t="shared" si="15"/>
        <v>#DIV/0!</v>
      </c>
      <c r="AD18" t="e">
        <f t="shared" si="16"/>
        <v>#DIV/0!</v>
      </c>
    </row>
    <row r="19" spans="1:30" x14ac:dyDescent="0.3">
      <c r="A19">
        <v>150</v>
      </c>
      <c r="C19" t="e">
        <f t="shared" si="0"/>
        <v>#DIV/0!</v>
      </c>
      <c r="F19">
        <f t="shared" si="1"/>
        <v>0</v>
      </c>
      <c r="I19">
        <f t="shared" si="2"/>
        <v>0</v>
      </c>
      <c r="J19" t="e">
        <f t="shared" si="3"/>
        <v>#DIV/0!</v>
      </c>
      <c r="K19">
        <v>67</v>
      </c>
      <c r="L19" t="e">
        <f t="shared" si="4"/>
        <v>#DIV/0!</v>
      </c>
      <c r="M19" t="e">
        <f t="shared" si="5"/>
        <v>#DIV/0!</v>
      </c>
      <c r="N19" t="s">
        <v>25</v>
      </c>
      <c r="Q19">
        <f t="shared" si="6"/>
        <v>0</v>
      </c>
      <c r="T19">
        <f t="shared" si="7"/>
        <v>0</v>
      </c>
      <c r="U19">
        <f t="shared" si="8"/>
        <v>0</v>
      </c>
      <c r="V19">
        <f t="shared" si="9"/>
        <v>0</v>
      </c>
      <c r="X19" t="e">
        <f t="shared" si="10"/>
        <v>#DIV/0!</v>
      </c>
      <c r="Y19" t="e">
        <f t="shared" si="11"/>
        <v>#DIV/0!</v>
      </c>
      <c r="Z19" t="e">
        <f t="shared" si="12"/>
        <v>#DIV/0!</v>
      </c>
      <c r="AA19" t="e">
        <f t="shared" si="13"/>
        <v>#DIV/0!</v>
      </c>
      <c r="AB19" t="e">
        <f t="shared" si="14"/>
        <v>#DIV/0!</v>
      </c>
      <c r="AC19" t="e">
        <f t="shared" si="15"/>
        <v>#DIV/0!</v>
      </c>
      <c r="AD19" t="e">
        <f t="shared" si="16"/>
        <v>#DIV/0!</v>
      </c>
    </row>
    <row r="20" spans="1:30" x14ac:dyDescent="0.3">
      <c r="A20">
        <v>153</v>
      </c>
      <c r="C20" t="e">
        <f t="shared" si="0"/>
        <v>#DIV/0!</v>
      </c>
      <c r="F20">
        <f t="shared" si="1"/>
        <v>0</v>
      </c>
      <c r="I20">
        <f t="shared" si="2"/>
        <v>0</v>
      </c>
      <c r="J20" t="e">
        <f t="shared" si="3"/>
        <v>#DIV/0!</v>
      </c>
      <c r="K20">
        <v>68</v>
      </c>
      <c r="L20" t="e">
        <f t="shared" si="4"/>
        <v>#DIV/0!</v>
      </c>
      <c r="M20" t="e">
        <f t="shared" si="5"/>
        <v>#DIV/0!</v>
      </c>
      <c r="N20" t="s">
        <v>25</v>
      </c>
      <c r="Q20">
        <f t="shared" si="6"/>
        <v>0</v>
      </c>
      <c r="T20">
        <f t="shared" si="7"/>
        <v>0</v>
      </c>
      <c r="U20">
        <f t="shared" si="8"/>
        <v>0</v>
      </c>
      <c r="V20">
        <f t="shared" si="9"/>
        <v>0</v>
      </c>
      <c r="X20" t="e">
        <f t="shared" si="10"/>
        <v>#DIV/0!</v>
      </c>
      <c r="Y20" t="e">
        <f t="shared" si="11"/>
        <v>#DIV/0!</v>
      </c>
      <c r="Z20" t="e">
        <f t="shared" si="12"/>
        <v>#DIV/0!</v>
      </c>
      <c r="AA20" t="e">
        <f t="shared" si="13"/>
        <v>#DIV/0!</v>
      </c>
      <c r="AB20" t="e">
        <f t="shared" si="14"/>
        <v>#DIV/0!</v>
      </c>
      <c r="AC20" t="e">
        <f t="shared" si="15"/>
        <v>#DIV/0!</v>
      </c>
      <c r="AD20" t="e">
        <f t="shared" si="16"/>
        <v>#DIV/0!</v>
      </c>
    </row>
    <row r="21" spans="1:30" x14ac:dyDescent="0.3">
      <c r="A21">
        <v>156</v>
      </c>
      <c r="C21" t="e">
        <f t="shared" si="0"/>
        <v>#DIV/0!</v>
      </c>
      <c r="F21">
        <f t="shared" si="1"/>
        <v>0</v>
      </c>
      <c r="I21">
        <f t="shared" si="2"/>
        <v>0</v>
      </c>
      <c r="J21" t="e">
        <f t="shared" si="3"/>
        <v>#DIV/0!</v>
      </c>
      <c r="K21">
        <v>69</v>
      </c>
      <c r="L21" t="e">
        <f t="shared" si="4"/>
        <v>#DIV/0!</v>
      </c>
      <c r="M21" t="e">
        <f t="shared" si="5"/>
        <v>#DIV/0!</v>
      </c>
      <c r="N21" t="s">
        <v>25</v>
      </c>
      <c r="Q21">
        <f t="shared" si="6"/>
        <v>0</v>
      </c>
      <c r="T21">
        <f t="shared" si="7"/>
        <v>0</v>
      </c>
      <c r="U21">
        <f t="shared" si="8"/>
        <v>0</v>
      </c>
      <c r="V21">
        <f t="shared" si="9"/>
        <v>0</v>
      </c>
      <c r="X21" t="e">
        <f t="shared" si="10"/>
        <v>#DIV/0!</v>
      </c>
      <c r="Y21" t="e">
        <f t="shared" si="11"/>
        <v>#DIV/0!</v>
      </c>
      <c r="Z21" t="e">
        <f t="shared" si="12"/>
        <v>#DIV/0!</v>
      </c>
      <c r="AA21" t="e">
        <f t="shared" si="13"/>
        <v>#DIV/0!</v>
      </c>
      <c r="AB21" t="e">
        <f t="shared" si="14"/>
        <v>#DIV/0!</v>
      </c>
      <c r="AC21" t="e">
        <f t="shared" si="15"/>
        <v>#DIV/0!</v>
      </c>
      <c r="AD21" t="e">
        <f t="shared" si="16"/>
        <v>#DIV/0!</v>
      </c>
    </row>
    <row r="22" spans="1:30" x14ac:dyDescent="0.3">
      <c r="A22">
        <v>159</v>
      </c>
      <c r="C22" t="e">
        <f t="shared" si="0"/>
        <v>#DIV/0!</v>
      </c>
      <c r="F22">
        <f t="shared" si="1"/>
        <v>0</v>
      </c>
      <c r="I22">
        <f t="shared" si="2"/>
        <v>0</v>
      </c>
      <c r="J22" t="e">
        <f t="shared" si="3"/>
        <v>#DIV/0!</v>
      </c>
      <c r="K22">
        <v>70</v>
      </c>
      <c r="L22" t="e">
        <f t="shared" si="4"/>
        <v>#DIV/0!</v>
      </c>
      <c r="M22" t="e">
        <f t="shared" si="5"/>
        <v>#DIV/0!</v>
      </c>
      <c r="N22" t="s">
        <v>25</v>
      </c>
      <c r="Q22">
        <f t="shared" si="6"/>
        <v>0</v>
      </c>
      <c r="T22">
        <f t="shared" si="7"/>
        <v>0</v>
      </c>
      <c r="U22">
        <f t="shared" si="8"/>
        <v>0</v>
      </c>
      <c r="V22">
        <f t="shared" si="9"/>
        <v>0</v>
      </c>
      <c r="X22" t="e">
        <f t="shared" si="10"/>
        <v>#DIV/0!</v>
      </c>
      <c r="Y22" t="e">
        <f t="shared" si="11"/>
        <v>#DIV/0!</v>
      </c>
      <c r="Z22" t="e">
        <f t="shared" si="12"/>
        <v>#DIV/0!</v>
      </c>
      <c r="AA22" t="e">
        <f t="shared" si="13"/>
        <v>#DIV/0!</v>
      </c>
      <c r="AB22" t="e">
        <f t="shared" si="14"/>
        <v>#DIV/0!</v>
      </c>
      <c r="AC22" t="e">
        <f t="shared" si="15"/>
        <v>#DIV/0!</v>
      </c>
      <c r="AD22" t="e">
        <f t="shared" si="16"/>
        <v>#DIV/0!</v>
      </c>
    </row>
    <row r="23" spans="1:30" x14ac:dyDescent="0.3">
      <c r="A23">
        <v>162</v>
      </c>
      <c r="C23" t="e">
        <f t="shared" si="0"/>
        <v>#DIV/0!</v>
      </c>
      <c r="F23">
        <f t="shared" si="1"/>
        <v>0</v>
      </c>
      <c r="I23">
        <f t="shared" si="2"/>
        <v>0</v>
      </c>
      <c r="J23" t="e">
        <f t="shared" si="3"/>
        <v>#DIV/0!</v>
      </c>
      <c r="K23">
        <v>71</v>
      </c>
      <c r="L23" t="e">
        <f t="shared" si="4"/>
        <v>#DIV/0!</v>
      </c>
      <c r="M23" t="e">
        <f t="shared" si="5"/>
        <v>#DIV/0!</v>
      </c>
      <c r="N23" t="s">
        <v>25</v>
      </c>
      <c r="Q23">
        <f t="shared" si="6"/>
        <v>0</v>
      </c>
      <c r="T23">
        <f t="shared" si="7"/>
        <v>0</v>
      </c>
      <c r="U23">
        <f t="shared" si="8"/>
        <v>0</v>
      </c>
      <c r="V23">
        <f t="shared" si="9"/>
        <v>0</v>
      </c>
      <c r="X23" t="e">
        <f t="shared" si="10"/>
        <v>#DIV/0!</v>
      </c>
      <c r="Y23" t="e">
        <f t="shared" si="11"/>
        <v>#DIV/0!</v>
      </c>
      <c r="Z23" t="e">
        <f t="shared" si="12"/>
        <v>#DIV/0!</v>
      </c>
      <c r="AA23" t="e">
        <f t="shared" si="13"/>
        <v>#DIV/0!</v>
      </c>
      <c r="AB23" t="e">
        <f t="shared" si="14"/>
        <v>#DIV/0!</v>
      </c>
      <c r="AC23" t="e">
        <f t="shared" si="15"/>
        <v>#DIV/0!</v>
      </c>
      <c r="AD23" t="e">
        <f t="shared" si="16"/>
        <v>#DIV/0!</v>
      </c>
    </row>
    <row r="24" spans="1:30" x14ac:dyDescent="0.3">
      <c r="A24">
        <v>166</v>
      </c>
      <c r="C24" t="e">
        <f t="shared" si="0"/>
        <v>#DIV/0!</v>
      </c>
      <c r="F24">
        <f t="shared" si="1"/>
        <v>0</v>
      </c>
      <c r="I24">
        <f t="shared" si="2"/>
        <v>0</v>
      </c>
      <c r="J24" t="e">
        <f t="shared" si="3"/>
        <v>#DIV/0!</v>
      </c>
      <c r="K24">
        <v>72</v>
      </c>
      <c r="L24" t="e">
        <f t="shared" si="4"/>
        <v>#DIV/0!</v>
      </c>
      <c r="M24" t="e">
        <f t="shared" si="5"/>
        <v>#DIV/0!</v>
      </c>
      <c r="N24" t="s">
        <v>25</v>
      </c>
      <c r="Q24">
        <f t="shared" si="6"/>
        <v>0</v>
      </c>
      <c r="T24">
        <f t="shared" si="7"/>
        <v>0</v>
      </c>
      <c r="U24">
        <f t="shared" si="8"/>
        <v>0</v>
      </c>
      <c r="V24">
        <f t="shared" si="9"/>
        <v>0</v>
      </c>
      <c r="X24" t="e">
        <f t="shared" si="10"/>
        <v>#DIV/0!</v>
      </c>
      <c r="Y24" t="e">
        <f t="shared" si="11"/>
        <v>#DIV/0!</v>
      </c>
      <c r="Z24" t="e">
        <f t="shared" si="12"/>
        <v>#DIV/0!</v>
      </c>
      <c r="AA24" t="e">
        <f t="shared" si="13"/>
        <v>#DIV/0!</v>
      </c>
      <c r="AB24" t="e">
        <f t="shared" si="14"/>
        <v>#DIV/0!</v>
      </c>
      <c r="AC24" t="e">
        <f t="shared" si="15"/>
        <v>#DIV/0!</v>
      </c>
      <c r="AD24" t="e">
        <f t="shared" si="16"/>
        <v>#DIV/0!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Season Lo</dc:creator>
  <cp:lastModifiedBy>Season Lo</cp:lastModifiedBy>
  <dcterms:created xsi:type="dcterms:W3CDTF">2023-03-09T10:51:04Z</dcterms:created>
  <dcterms:modified xsi:type="dcterms:W3CDTF">2023-03-09T12:35:04Z</dcterms:modified>
</cp:coreProperties>
</file>